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pum\Desktop\Humber\AAll Subject_SEM2\Capstone Project_Fayruz\Data Files\Data\CPI_monthly_done\CSVs\"/>
    </mc:Choice>
  </mc:AlternateContent>
  <xr:revisionPtr revIDLastSave="0" documentId="13_ncr:1_{9A8BB378-48B3-4E9E-916D-3097FF3F5C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PI_Original" sheetId="2" r:id="rId1"/>
    <sheet name="BLS Data Series" sheetId="1" r:id="rId2"/>
  </sheets>
  <definedNames>
    <definedName name="ExternalData_1" localSheetId="0" hidden="1">CPI_Original!$A$1:$C$108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Data unavailable due to the 2025 lapse in appropriations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F4E8BA-9FB9-4647-B5B8-572ACD4FFEA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<sst xmlns="http://schemas.openxmlformats.org/spreadsheetml/2006/main" count="143" uniqueCount="35">
  <si>
    <t>Consumer Price Index for All Urban Consumers (CPI-U)</t>
  </si>
  <si>
    <t>Original Data Value</t>
  </si>
  <si>
    <t>Series Id:</t>
  </si>
  <si>
    <t>CUSR0000SA0</t>
  </si>
  <si>
    <t>Seasonally Adjusted</t>
  </si>
  <si>
    <t>Series Title:</t>
  </si>
  <si>
    <t>All items in U.S. city average, all urban consumers,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</si>
  <si>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</si>
  <si>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</si>
  <si>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</si>
  <si>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</si>
  <si>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</si>
  <si>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</si>
  <si>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</si>
  <si>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2017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</si>
  <si>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</si>
  <si>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</si>
  <si>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</si>
  <si>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</si>
  <si>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</si>
  <si>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</si>
  <si>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</si>
  <si>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</si>
  <si>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</si>
  <si>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</si>
  <si>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</si>
  <si>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</si>
  <si>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</si>
  <si>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</si>
  <si>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</si>
  <si>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/>
  </si>
  <si>
    <t>Month</t>
  </si>
  <si>
    <t>Date</t>
  </si>
  <si>
    <t>CPI</t>
  </si>
  <si>
    <t>yearly_ 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</si>
</sst>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0"/>
  </numFmts>
  <fonts count="8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horizontal="left"/>
    </xf>
    <xf numFmtId="164" fontId="4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0" fillId="0" borderId="0" xfId="0"/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 vertical="top" wrapText="1"/>
    </xf>
    <xf numFmtId="0" fontId="7" fillId="2" borderId="1" xfId="0" applyFont="1" applyFill="1" applyBorder="1" applyAlignment="1">
      <alignment horizontal="center" wrapText="1"/>
    </xf>
    <xf numFmtId="0" fontId="0" fillId="0" borderId="0" xfId="0" applyNumberFormat="1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8">
    <dxf>
      <numFmt numFmtId="19" formatCode="m/d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9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9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bottom style="thick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213360</xdr:colOff>
      <xdr:row>41</xdr:row>
      <xdr:rowOff>91440</xdr:rowOff>
    </xdr:to>
    <xdr:sp macro="" textlink="">
      <xdr:nvSpPr>
        <xdr:cNvPr id="1026" name="_xssf_cell_comment" hidden="1">
          <a:extLst>
            <a:ext uri="{FF2B5EF4-FFF2-40B4-BE49-F238E27FC236}">
              <a16:creationId xmlns:a16="http://schemas.microsoft.com/office/drawing/2014/main" id="{99DC7829-FA3B-420D-2077-A176B21741C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213360</xdr:colOff>
      <xdr:row>41</xdr:row>
      <xdr:rowOff>91440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CF7D2D83-9CC5-0F2E-185F-180ECD4AEA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9257F0-68D6-4969-BA61-48A3A79DDB3D}" autoFormatId="16" applyNumberFormats="0" applyBorderFormats="0" applyFontFormats="0" applyPatternFormats="0" applyAlignmentFormats="0" applyWidthHeightFormats="0">
  <queryTableRefresh nextId="5">
    <queryTableFields count="3">
      <queryTableField id="1" name="Year" tableColumnId="1"/>
      <queryTableField id="2" name="Month" tableColumnId="2"/>
      <queryTableField id="4" name="Date" tableColumnId="4"/>
    </queryTableFields>
    <queryTableDeletedFields count="1">
      <deletedField name="Valu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8947E8-C624-4F23-84CE-4DAC3F3B2841}" name="Table1_1" displayName="Table1_1" ref="A1:C108" tableType="queryTable" totalsRowShown="0">
  <autoFilter ref="A1:C108" xr:uid="{E08947E8-C624-4F23-84CE-4DAC3F3B2841}"/>
  <tableColumns count="3">
    <tableColumn id="1" xr3:uid="{112C2066-CF90-4666-99AF-43DC4EAB1451}" uniqueName="1" name="Year" queryTableFieldId="1"/>
    <tableColumn id="2" xr3:uid="{FEBE2494-3A4D-484B-95B5-1E35F0466147}" uniqueName="2" name="Month" queryTableFieldId="2" dataDxfId="1"/>
    <tableColumn id="4" xr3:uid="{2BD13CFB-3977-487B-8777-35F800E1C6AE}" uniqueName="4" name="Date" queryTableFieldId="4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A7B696-FA59-4A6B-87DB-D3A0B8A1C437}" name="Table1" displayName="Table1" ref="A12:O21" totalsRowShown="0" headerRowDxfId="2" dataDxfId="3" headerRowBorderDxfId="17">
  <autoFilter ref="A12:O21" xr:uid="{52A7B696-FA59-4A6B-87DB-D3A0B8A1C437}"/>
  <tableColumns count="15">
    <tableColumn id="1" xr3:uid="{97633AC3-69B7-42A3-B2CC-706FF8397ED2}" name="Year" dataDxfId="16"/>
    <tableColumn id="2" xr3:uid="{A5E5D1D0-CC22-4B66-B230-F5BDF82268FE}" name="Jan" dataDxfId="15"/>
    <tableColumn id="3" xr3:uid="{994E69AD-54C6-41F3-94DA-EF5066D55D65}" name="Feb" dataDxfId="14"/>
    <tableColumn id="4" xr3:uid="{03DFBE57-A98C-4258-A09A-EC5D50F1E459}" name="Mar" dataDxfId="13"/>
    <tableColumn id="5" xr3:uid="{E7F28C5B-E846-4D7D-912F-4954099C8832}" name="Apr" dataDxfId="12"/>
    <tableColumn id="6" xr3:uid="{9AA7B81A-0B69-4362-A487-6DBC1F9ED349}" name="May" dataDxfId="11"/>
    <tableColumn id="7" xr3:uid="{8FA1F534-1122-4D87-BBCF-3A4FE504F338}" name="Jun" dataDxfId="10"/>
    <tableColumn id="8" xr3:uid="{5F6931A6-2DEA-4AD6-8400-84520225946D}" name="Jul" dataDxfId="9"/>
    <tableColumn id="9" xr3:uid="{873E9F88-356F-4780-9117-25F6FE171831}" name="Aug" dataDxfId="8"/>
    <tableColumn id="10" xr3:uid="{00E9CB26-7CB6-4C19-8CB0-1DF9C58194C4}" name="Sep" dataDxfId="7"/>
    <tableColumn id="11" xr3:uid="{27DC776C-8434-4D24-8BE7-FF6B0B282992}" name="Oct" dataDxfId="6"/>
    <tableColumn id="12" xr3:uid="{7D0FF033-4557-4E66-9B85-065071EEC4C1}" name="Nov" dataDxfId="5"/>
    <tableColumn id="13" xr3:uid="{106AB57B-F6E8-46E4-BEB6-E9C038BC6907}" name="Dec" dataDxfId="4"/>
    <tableColumn id="14" xr3:uid="{6CBAF84F-F257-4329-8A11-DEA29A75057E}" name="HALF1"/>
    <tableColumn id="15" xr3:uid="{2CC6EB0E-6538-461C-887B-F864542DE68C}" name="HALF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6F98E-5A3A-4B37-9FA1-D026EACF168F}">
  <dimension ref="A1:E108"/>
  <sheetViews>
    <sheetView tabSelected="1" workbookViewId="0">
      <selection activeCell="G4" sqref="G4"/>
    </sheetView>
  </sheetViews>
  <sheetFormatPr defaultRowHeight="14.4" x14ac:dyDescent="0.3"/>
  <cols>
    <col min="1" max="1" width="6.88671875" bestFit="1" customWidth="1"/>
    <col min="2" max="2" width="8.33203125" bestFit="1" customWidth="1"/>
    <col min="3" max="3" width="15.44140625" style="11" customWidth="1"/>
    <col min="4" max="4" width="11.109375" customWidth="1"/>
    <col min="5" max="5" width="8.88671875" style="12"/>
  </cols>
  <sheetData>
    <row r="1" spans="1:5" x14ac:dyDescent="0.3">
      <c r="A1" t="s">
        <v>15</v>
      </c>
      <c r="B1" t="s">
        <v>31</v>
      </c>
      <c r="C1" s="11" t="s">
        <v>32</v>
      </c>
      <c r="D1" t="s">
        <v>33</v>
      </c>
      <c r="E1" s="12" t="s">
        <v>34</v>
      </c>
    </row>
    <row r="2" spans="1:5" x14ac:dyDescent="0.3">
      <c r="A2">
        <v>2017</v>
      </c>
      <c r="B2" s="10" t="s">
        <v>16</v>
      </c>
      <c r="C2" s="11">
        <v>42766</v>
      </c>
      <c r="D2">
        <v>243.61799999999999</v>
      </c>
    </row>
    <row r="3" spans="1:5" x14ac:dyDescent="0.3">
      <c r="A3">
        <v>2017</v>
      </c>
      <c r="B3" s="10" t="s">
        <v>17</v>
      </c>
      <c r="C3" s="11">
        <v>42794</v>
      </c>
      <c r="D3">
        <v>244.006</v>
      </c>
    </row>
    <row r="4" spans="1:5" x14ac:dyDescent="0.3">
      <c r="A4">
        <v>2017</v>
      </c>
      <c r="B4" s="10" t="s">
        <v>18</v>
      </c>
      <c r="C4" s="11">
        <v>42825</v>
      </c>
      <c r="D4">
        <v>243.892</v>
      </c>
    </row>
    <row r="5" spans="1:5" x14ac:dyDescent="0.3">
      <c r="A5">
        <v>2017</v>
      </c>
      <c r="B5" s="10" t="s">
        <v>19</v>
      </c>
      <c r="C5" s="11">
        <v>42855</v>
      </c>
      <c r="D5">
        <v>244.19300000000001</v>
      </c>
    </row>
    <row r="6" spans="1:5" x14ac:dyDescent="0.3">
      <c r="A6">
        <v>2017</v>
      </c>
      <c r="B6" s="10" t="s">
        <v>20</v>
      </c>
      <c r="C6" s="11">
        <v>42886</v>
      </c>
      <c r="D6">
        <v>244.00399999999999</v>
      </c>
    </row>
    <row r="7" spans="1:5" x14ac:dyDescent="0.3">
      <c r="A7">
        <v>2017</v>
      </c>
      <c r="B7" s="10" t="s">
        <v>21</v>
      </c>
      <c r="C7" s="11">
        <v>42916</v>
      </c>
      <c r="D7">
        <v>244.16300000000001</v>
      </c>
    </row>
    <row r="8" spans="1:5" x14ac:dyDescent="0.3">
      <c r="A8">
        <v>2017</v>
      </c>
      <c r="B8" s="10" t="s">
        <v>22</v>
      </c>
      <c r="C8" s="11">
        <v>42947</v>
      </c>
      <c r="D8">
        <v>244.24299999999999</v>
      </c>
    </row>
    <row r="9" spans="1:5" x14ac:dyDescent="0.3">
      <c r="A9">
        <v>2017</v>
      </c>
      <c r="B9" s="10" t="s">
        <v>23</v>
      </c>
      <c r="C9" s="11">
        <v>42978</v>
      </c>
      <c r="D9">
        <v>245.18299999999999</v>
      </c>
    </row>
    <row r="10" spans="1:5" x14ac:dyDescent="0.3">
      <c r="A10">
        <v>2017</v>
      </c>
      <c r="B10" s="10" t="s">
        <v>24</v>
      </c>
      <c r="C10" s="11">
        <v>43008</v>
      </c>
      <c r="D10">
        <v>246.435</v>
      </c>
    </row>
    <row r="11" spans="1:5" x14ac:dyDescent="0.3">
      <c r="A11">
        <v>2017</v>
      </c>
      <c r="B11" s="10" t="s">
        <v>25</v>
      </c>
      <c r="C11" s="11">
        <v>43039</v>
      </c>
      <c r="D11">
        <v>246.626</v>
      </c>
    </row>
    <row r="12" spans="1:5" x14ac:dyDescent="0.3">
      <c r="A12">
        <v>2017</v>
      </c>
      <c r="B12" s="10" t="s">
        <v>26</v>
      </c>
      <c r="C12" s="11">
        <v>43069</v>
      </c>
      <c r="D12">
        <v>247.28399999999999</v>
      </c>
    </row>
    <row r="13" spans="1:5" x14ac:dyDescent="0.3">
      <c r="A13">
        <v>2017</v>
      </c>
      <c r="B13" s="10" t="s">
        <v>27</v>
      </c>
      <c r="C13" s="11">
        <v>43100</v>
      </c>
      <c r="D13">
        <v>247.80500000000001</v>
      </c>
    </row>
    <row r="14" spans="1:5" x14ac:dyDescent="0.3">
      <c r="A14">
        <v>2018</v>
      </c>
      <c r="B14" s="10" t="s">
        <v>16</v>
      </c>
      <c r="C14" s="11">
        <v>43131</v>
      </c>
      <c r="D14">
        <v>248.85900000000001</v>
      </c>
      <c r="E14" s="12">
        <f>(D14-D2)/D2</f>
        <v>2.1513188680639419E-2</v>
      </c>
    </row>
    <row r="15" spans="1:5" x14ac:dyDescent="0.3">
      <c r="A15">
        <v>2018</v>
      </c>
      <c r="B15" s="10" t="s">
        <v>17</v>
      </c>
      <c r="C15" s="11">
        <v>43159</v>
      </c>
      <c r="D15">
        <v>249.529</v>
      </c>
      <c r="E15" s="12">
        <f t="shared" ref="E15:E78" si="0">(D15-D3)/D3</f>
        <v>2.2634689310918568E-2</v>
      </c>
    </row>
    <row r="16" spans="1:5" x14ac:dyDescent="0.3">
      <c r="A16">
        <v>2018</v>
      </c>
      <c r="B16" s="10" t="s">
        <v>18</v>
      </c>
      <c r="C16" s="11">
        <v>43190</v>
      </c>
      <c r="D16">
        <v>249.577</v>
      </c>
      <c r="E16" s="12">
        <f t="shared" si="0"/>
        <v>2.330949764649928E-2</v>
      </c>
    </row>
    <row r="17" spans="1:5" x14ac:dyDescent="0.3">
      <c r="A17">
        <v>2018</v>
      </c>
      <c r="B17" s="10" t="s">
        <v>19</v>
      </c>
      <c r="C17" s="11">
        <v>43220</v>
      </c>
      <c r="D17">
        <v>250.227</v>
      </c>
      <c r="E17" s="12">
        <f t="shared" si="0"/>
        <v>2.4709963021052984E-2</v>
      </c>
    </row>
    <row r="18" spans="1:5" x14ac:dyDescent="0.3">
      <c r="A18">
        <v>2018</v>
      </c>
      <c r="B18" s="10" t="s">
        <v>20</v>
      </c>
      <c r="C18" s="11">
        <v>43251</v>
      </c>
      <c r="D18">
        <v>250.792</v>
      </c>
      <c r="E18" s="12">
        <f t="shared" si="0"/>
        <v>2.781921607842499E-2</v>
      </c>
    </row>
    <row r="19" spans="1:5" x14ac:dyDescent="0.3">
      <c r="A19">
        <v>2018</v>
      </c>
      <c r="B19" s="10" t="s">
        <v>21</v>
      </c>
      <c r="C19" s="11">
        <v>43281</v>
      </c>
      <c r="D19">
        <v>251.018</v>
      </c>
      <c r="E19" s="12">
        <f t="shared" si="0"/>
        <v>2.8075506935940291E-2</v>
      </c>
    </row>
    <row r="20" spans="1:5" x14ac:dyDescent="0.3">
      <c r="A20">
        <v>2018</v>
      </c>
      <c r="B20" s="10" t="s">
        <v>22</v>
      </c>
      <c r="C20" s="11">
        <v>43312</v>
      </c>
      <c r="D20">
        <v>251.214</v>
      </c>
      <c r="E20" s="12">
        <f t="shared" si="0"/>
        <v>2.8541247855619213E-2</v>
      </c>
    </row>
    <row r="21" spans="1:5" x14ac:dyDescent="0.3">
      <c r="A21">
        <v>2018</v>
      </c>
      <c r="B21" s="10" t="s">
        <v>23</v>
      </c>
      <c r="C21" s="11">
        <v>43343</v>
      </c>
      <c r="D21">
        <v>251.66300000000001</v>
      </c>
      <c r="E21" s="12">
        <f t="shared" si="0"/>
        <v>2.6429238568742606E-2</v>
      </c>
    </row>
    <row r="22" spans="1:5" x14ac:dyDescent="0.3">
      <c r="A22">
        <v>2018</v>
      </c>
      <c r="B22" s="10" t="s">
        <v>24</v>
      </c>
      <c r="C22" s="11">
        <v>43373</v>
      </c>
      <c r="D22">
        <v>252.18199999999999</v>
      </c>
      <c r="E22" s="12">
        <f t="shared" si="0"/>
        <v>2.3320551058088283E-2</v>
      </c>
    </row>
    <row r="23" spans="1:5" x14ac:dyDescent="0.3">
      <c r="A23">
        <v>2018</v>
      </c>
      <c r="B23" s="10" t="s">
        <v>25</v>
      </c>
      <c r="C23" s="11">
        <v>43404</v>
      </c>
      <c r="D23">
        <v>252.77199999999999</v>
      </c>
      <c r="E23" s="12">
        <f t="shared" si="0"/>
        <v>2.4920324702180575E-2</v>
      </c>
    </row>
    <row r="24" spans="1:5" x14ac:dyDescent="0.3">
      <c r="A24">
        <v>2018</v>
      </c>
      <c r="B24" s="10" t="s">
        <v>26</v>
      </c>
      <c r="C24" s="11">
        <v>43434</v>
      </c>
      <c r="D24">
        <v>252.59399999999999</v>
      </c>
      <c r="E24" s="12">
        <f t="shared" si="0"/>
        <v>2.1473285776677838E-2</v>
      </c>
    </row>
    <row r="25" spans="1:5" x14ac:dyDescent="0.3">
      <c r="A25">
        <v>2018</v>
      </c>
      <c r="B25" s="10" t="s">
        <v>27</v>
      </c>
      <c r="C25" s="11">
        <v>43465</v>
      </c>
      <c r="D25">
        <v>252.767</v>
      </c>
      <c r="E25" s="12">
        <f t="shared" si="0"/>
        <v>2.0023809043401015E-2</v>
      </c>
    </row>
    <row r="26" spans="1:5" x14ac:dyDescent="0.3">
      <c r="A26">
        <v>2019</v>
      </c>
      <c r="B26" s="10" t="s">
        <v>16</v>
      </c>
      <c r="C26" s="11">
        <v>43496</v>
      </c>
      <c r="D26">
        <v>252.56100000000001</v>
      </c>
      <c r="E26" s="12">
        <f t="shared" si="0"/>
        <v>1.4875893578291314E-2</v>
      </c>
    </row>
    <row r="27" spans="1:5" x14ac:dyDescent="0.3">
      <c r="A27">
        <v>2019</v>
      </c>
      <c r="B27" s="10" t="s">
        <v>17</v>
      </c>
      <c r="C27" s="11">
        <v>43524</v>
      </c>
      <c r="D27">
        <v>253.31899999999999</v>
      </c>
      <c r="E27" s="12">
        <f t="shared" si="0"/>
        <v>1.518861535132186E-2</v>
      </c>
    </row>
    <row r="28" spans="1:5" x14ac:dyDescent="0.3">
      <c r="A28">
        <v>2019</v>
      </c>
      <c r="B28" s="10" t="s">
        <v>18</v>
      </c>
      <c r="C28" s="11">
        <v>43555</v>
      </c>
      <c r="D28">
        <v>254.27699999999999</v>
      </c>
      <c r="E28" s="12">
        <f t="shared" si="0"/>
        <v>1.8831863513064061E-2</v>
      </c>
    </row>
    <row r="29" spans="1:5" x14ac:dyDescent="0.3">
      <c r="A29">
        <v>2019</v>
      </c>
      <c r="B29" s="10" t="s">
        <v>19</v>
      </c>
      <c r="C29" s="11">
        <v>43585</v>
      </c>
      <c r="D29">
        <v>255.233</v>
      </c>
      <c r="E29" s="12">
        <f t="shared" si="0"/>
        <v>2.0005834702090504E-2</v>
      </c>
    </row>
    <row r="30" spans="1:5" x14ac:dyDescent="0.3">
      <c r="A30">
        <v>2019</v>
      </c>
      <c r="B30" s="10" t="s">
        <v>20</v>
      </c>
      <c r="C30" s="11">
        <v>43616</v>
      </c>
      <c r="D30">
        <v>255.29599999999999</v>
      </c>
      <c r="E30" s="12">
        <f t="shared" si="0"/>
        <v>1.795910555360614E-2</v>
      </c>
    </row>
    <row r="31" spans="1:5" x14ac:dyDescent="0.3">
      <c r="A31">
        <v>2019</v>
      </c>
      <c r="B31" s="10" t="s">
        <v>21</v>
      </c>
      <c r="C31" s="11">
        <v>43646</v>
      </c>
      <c r="D31">
        <v>255.21299999999999</v>
      </c>
      <c r="E31" s="12">
        <f t="shared" si="0"/>
        <v>1.671194894390041E-2</v>
      </c>
    </row>
    <row r="32" spans="1:5" x14ac:dyDescent="0.3">
      <c r="A32">
        <v>2019</v>
      </c>
      <c r="B32" s="10" t="s">
        <v>22</v>
      </c>
      <c r="C32" s="11">
        <v>43677</v>
      </c>
      <c r="D32">
        <v>255.80199999999999</v>
      </c>
      <c r="E32" s="12">
        <f t="shared" si="0"/>
        <v>1.8263313350370576E-2</v>
      </c>
    </row>
    <row r="33" spans="1:5" x14ac:dyDescent="0.3">
      <c r="A33">
        <v>2019</v>
      </c>
      <c r="B33" s="10" t="s">
        <v>23</v>
      </c>
      <c r="C33" s="11">
        <v>43708</v>
      </c>
      <c r="D33">
        <v>256.036</v>
      </c>
      <c r="E33" s="12">
        <f t="shared" si="0"/>
        <v>1.7376412106666416E-2</v>
      </c>
    </row>
    <row r="34" spans="1:5" x14ac:dyDescent="0.3">
      <c r="A34">
        <v>2019</v>
      </c>
      <c r="B34" s="10" t="s">
        <v>24</v>
      </c>
      <c r="C34" s="11">
        <v>43738</v>
      </c>
      <c r="D34">
        <v>256.43</v>
      </c>
      <c r="E34" s="12">
        <f t="shared" si="0"/>
        <v>1.6844977040391538E-2</v>
      </c>
    </row>
    <row r="35" spans="1:5" x14ac:dyDescent="0.3">
      <c r="A35">
        <v>2019</v>
      </c>
      <c r="B35" s="10" t="s">
        <v>25</v>
      </c>
      <c r="C35" s="11">
        <v>43769</v>
      </c>
      <c r="D35">
        <v>257.15499999999997</v>
      </c>
      <c r="E35" s="12">
        <f t="shared" si="0"/>
        <v>1.7339736996186215E-2</v>
      </c>
    </row>
    <row r="36" spans="1:5" x14ac:dyDescent="0.3">
      <c r="A36">
        <v>2019</v>
      </c>
      <c r="B36" s="10" t="s">
        <v>26</v>
      </c>
      <c r="C36" s="11">
        <v>43799</v>
      </c>
      <c r="D36">
        <v>257.87900000000002</v>
      </c>
      <c r="E36" s="12">
        <f t="shared" si="0"/>
        <v>2.0922903948629126E-2</v>
      </c>
    </row>
    <row r="37" spans="1:5" x14ac:dyDescent="0.3">
      <c r="A37">
        <v>2019</v>
      </c>
      <c r="B37" s="10" t="s">
        <v>27</v>
      </c>
      <c r="C37" s="11">
        <v>43830</v>
      </c>
      <c r="D37">
        <v>258.63</v>
      </c>
      <c r="E37" s="12">
        <f t="shared" si="0"/>
        <v>2.3195274699624555E-2</v>
      </c>
    </row>
    <row r="38" spans="1:5" x14ac:dyDescent="0.3">
      <c r="A38">
        <v>2020</v>
      </c>
      <c r="B38" s="10" t="s">
        <v>16</v>
      </c>
      <c r="C38" s="11">
        <v>43861</v>
      </c>
      <c r="D38">
        <v>259.12700000000001</v>
      </c>
      <c r="E38" s="12">
        <f t="shared" si="0"/>
        <v>2.5997679768451989E-2</v>
      </c>
    </row>
    <row r="39" spans="1:5" x14ac:dyDescent="0.3">
      <c r="A39">
        <v>2020</v>
      </c>
      <c r="B39" s="10" t="s">
        <v>17</v>
      </c>
      <c r="C39" s="11">
        <v>43890</v>
      </c>
      <c r="D39">
        <v>259.25</v>
      </c>
      <c r="E39" s="12">
        <f t="shared" si="0"/>
        <v>2.3413166797595173E-2</v>
      </c>
    </row>
    <row r="40" spans="1:5" x14ac:dyDescent="0.3">
      <c r="A40">
        <v>2020</v>
      </c>
      <c r="B40" s="10" t="s">
        <v>18</v>
      </c>
      <c r="C40" s="11">
        <v>43921</v>
      </c>
      <c r="D40">
        <v>258.07600000000002</v>
      </c>
      <c r="E40" s="12">
        <f t="shared" si="0"/>
        <v>1.494039964290925E-2</v>
      </c>
    </row>
    <row r="41" spans="1:5" x14ac:dyDescent="0.3">
      <c r="A41">
        <v>2020</v>
      </c>
      <c r="B41" s="10" t="s">
        <v>19</v>
      </c>
      <c r="C41" s="11">
        <v>43951</v>
      </c>
      <c r="D41">
        <v>256.03199999999998</v>
      </c>
      <c r="E41" s="12">
        <f t="shared" si="0"/>
        <v>3.130472940411225E-3</v>
      </c>
    </row>
    <row r="42" spans="1:5" x14ac:dyDescent="0.3">
      <c r="A42">
        <v>2020</v>
      </c>
      <c r="B42" s="10" t="s">
        <v>20</v>
      </c>
      <c r="C42" s="11">
        <v>43982</v>
      </c>
      <c r="D42">
        <v>255.80199999999999</v>
      </c>
      <c r="E42" s="12">
        <f t="shared" si="0"/>
        <v>1.9820130358485844E-3</v>
      </c>
    </row>
    <row r="43" spans="1:5" x14ac:dyDescent="0.3">
      <c r="A43">
        <v>2020</v>
      </c>
      <c r="B43" s="10" t="s">
        <v>21</v>
      </c>
      <c r="C43" s="11">
        <v>44012</v>
      </c>
      <c r="D43">
        <v>257.04199999999997</v>
      </c>
      <c r="E43" s="12">
        <f t="shared" si="0"/>
        <v>7.1665628318305858E-3</v>
      </c>
    </row>
    <row r="44" spans="1:5" x14ac:dyDescent="0.3">
      <c r="A44">
        <v>2020</v>
      </c>
      <c r="B44" s="10" t="s">
        <v>22</v>
      </c>
      <c r="C44" s="11">
        <v>44043</v>
      </c>
      <c r="D44">
        <v>258.35199999999998</v>
      </c>
      <c r="E44" s="12">
        <f t="shared" si="0"/>
        <v>9.9686476258980892E-3</v>
      </c>
    </row>
    <row r="45" spans="1:5" x14ac:dyDescent="0.3">
      <c r="A45">
        <v>2020</v>
      </c>
      <c r="B45" s="10" t="s">
        <v>23</v>
      </c>
      <c r="C45" s="11">
        <v>44074</v>
      </c>
      <c r="D45">
        <v>259.31599999999997</v>
      </c>
      <c r="E45" s="12">
        <f t="shared" si="0"/>
        <v>1.2810698495523961E-2</v>
      </c>
    </row>
    <row r="46" spans="1:5" x14ac:dyDescent="0.3">
      <c r="A46">
        <v>2020</v>
      </c>
      <c r="B46" s="10" t="s">
        <v>24</v>
      </c>
      <c r="C46" s="11">
        <v>44104</v>
      </c>
      <c r="D46">
        <v>259.99700000000001</v>
      </c>
      <c r="E46" s="12">
        <f t="shared" si="0"/>
        <v>1.3910228912373776E-2</v>
      </c>
    </row>
    <row r="47" spans="1:5" x14ac:dyDescent="0.3">
      <c r="A47">
        <v>2020</v>
      </c>
      <c r="B47" s="10" t="s">
        <v>25</v>
      </c>
      <c r="C47" s="11">
        <v>44135</v>
      </c>
      <c r="D47">
        <v>260.31900000000002</v>
      </c>
      <c r="E47" s="12">
        <f t="shared" si="0"/>
        <v>1.2303863428671596E-2</v>
      </c>
    </row>
    <row r="48" spans="1:5" x14ac:dyDescent="0.3">
      <c r="A48">
        <v>2020</v>
      </c>
      <c r="B48" s="10" t="s">
        <v>26</v>
      </c>
      <c r="C48" s="11">
        <v>44165</v>
      </c>
      <c r="D48">
        <v>260.911</v>
      </c>
      <c r="E48" s="12">
        <f t="shared" si="0"/>
        <v>1.1757452138405927E-2</v>
      </c>
    </row>
    <row r="49" spans="1:5" x14ac:dyDescent="0.3">
      <c r="A49">
        <v>2020</v>
      </c>
      <c r="B49" s="10" t="s">
        <v>27</v>
      </c>
      <c r="C49" s="11">
        <v>44196</v>
      </c>
      <c r="D49">
        <v>262.04500000000002</v>
      </c>
      <c r="E49" s="12">
        <f t="shared" si="0"/>
        <v>1.3204191315779377E-2</v>
      </c>
    </row>
    <row r="50" spans="1:5" x14ac:dyDescent="0.3">
      <c r="A50">
        <v>2021</v>
      </c>
      <c r="B50" s="10" t="s">
        <v>16</v>
      </c>
      <c r="C50" s="11">
        <v>44227</v>
      </c>
      <c r="D50">
        <v>262.63900000000001</v>
      </c>
      <c r="E50" s="12">
        <f t="shared" si="0"/>
        <v>1.355319978234611E-2</v>
      </c>
    </row>
    <row r="51" spans="1:5" x14ac:dyDescent="0.3">
      <c r="A51">
        <v>2021</v>
      </c>
      <c r="B51" s="10" t="s">
        <v>17</v>
      </c>
      <c r="C51" s="11">
        <v>44255</v>
      </c>
      <c r="D51">
        <v>263.57299999999998</v>
      </c>
      <c r="E51" s="12">
        <f t="shared" si="0"/>
        <v>1.6675024108003776E-2</v>
      </c>
    </row>
    <row r="52" spans="1:5" x14ac:dyDescent="0.3">
      <c r="A52">
        <v>2021</v>
      </c>
      <c r="B52" s="10" t="s">
        <v>18</v>
      </c>
      <c r="C52" s="11">
        <v>44286</v>
      </c>
      <c r="D52">
        <v>264.84699999999998</v>
      </c>
      <c r="E52" s="12">
        <f t="shared" si="0"/>
        <v>2.623645747764208E-2</v>
      </c>
    </row>
    <row r="53" spans="1:5" x14ac:dyDescent="0.3">
      <c r="A53">
        <v>2021</v>
      </c>
      <c r="B53" s="10" t="s">
        <v>19</v>
      </c>
      <c r="C53" s="11">
        <v>44316</v>
      </c>
      <c r="D53">
        <v>266.625</v>
      </c>
      <c r="E53" s="12">
        <f t="shared" si="0"/>
        <v>4.1373734533183423E-2</v>
      </c>
    </row>
    <row r="54" spans="1:5" x14ac:dyDescent="0.3">
      <c r="A54">
        <v>2021</v>
      </c>
      <c r="B54" s="10" t="s">
        <v>20</v>
      </c>
      <c r="C54" s="11">
        <v>44347</v>
      </c>
      <c r="D54">
        <v>268.404</v>
      </c>
      <c r="E54" s="12">
        <f t="shared" si="0"/>
        <v>4.9264665639830826E-2</v>
      </c>
    </row>
    <row r="55" spans="1:5" x14ac:dyDescent="0.3">
      <c r="A55">
        <v>2021</v>
      </c>
      <c r="B55" s="10" t="s">
        <v>21</v>
      </c>
      <c r="C55" s="11">
        <v>44377</v>
      </c>
      <c r="D55">
        <v>270.70999999999998</v>
      </c>
      <c r="E55" s="12">
        <f t="shared" si="0"/>
        <v>5.317418943207728E-2</v>
      </c>
    </row>
    <row r="56" spans="1:5" x14ac:dyDescent="0.3">
      <c r="A56">
        <v>2021</v>
      </c>
      <c r="B56" s="10" t="s">
        <v>22</v>
      </c>
      <c r="C56" s="11">
        <v>44408</v>
      </c>
      <c r="D56">
        <v>271.96499999999997</v>
      </c>
      <c r="E56" s="12">
        <f t="shared" si="0"/>
        <v>5.2691676472409736E-2</v>
      </c>
    </row>
    <row r="57" spans="1:5" x14ac:dyDescent="0.3">
      <c r="A57">
        <v>2021</v>
      </c>
      <c r="B57" s="10" t="s">
        <v>23</v>
      </c>
      <c r="C57" s="11">
        <v>44439</v>
      </c>
      <c r="D57">
        <v>272.75200000000001</v>
      </c>
      <c r="E57" s="12">
        <f t="shared" si="0"/>
        <v>5.1813231732712357E-2</v>
      </c>
    </row>
    <row r="58" spans="1:5" x14ac:dyDescent="0.3">
      <c r="A58">
        <v>2021</v>
      </c>
      <c r="B58" s="10" t="s">
        <v>24</v>
      </c>
      <c r="C58" s="11">
        <v>44469</v>
      </c>
      <c r="D58">
        <v>273.94200000000001</v>
      </c>
      <c r="E58" s="12">
        <f t="shared" si="0"/>
        <v>5.3635234252702883E-2</v>
      </c>
    </row>
    <row r="59" spans="1:5" x14ac:dyDescent="0.3">
      <c r="A59">
        <v>2021</v>
      </c>
      <c r="B59" s="10" t="s">
        <v>25</v>
      </c>
      <c r="C59" s="11">
        <v>44500</v>
      </c>
      <c r="D59">
        <v>276.52800000000002</v>
      </c>
      <c r="E59" s="12">
        <f t="shared" si="0"/>
        <v>6.2265912207714387E-2</v>
      </c>
    </row>
    <row r="60" spans="1:5" x14ac:dyDescent="0.3">
      <c r="A60">
        <v>2021</v>
      </c>
      <c r="B60" s="10" t="s">
        <v>26</v>
      </c>
      <c r="C60" s="11">
        <v>44530</v>
      </c>
      <c r="D60">
        <v>278.82400000000001</v>
      </c>
      <c r="E60" s="12">
        <f t="shared" si="0"/>
        <v>6.8655595202961966E-2</v>
      </c>
    </row>
    <row r="61" spans="1:5" x14ac:dyDescent="0.3">
      <c r="A61">
        <v>2021</v>
      </c>
      <c r="B61" s="10" t="s">
        <v>27</v>
      </c>
      <c r="C61" s="11">
        <v>44561</v>
      </c>
      <c r="D61">
        <v>280.80599999999998</v>
      </c>
      <c r="E61" s="12">
        <f t="shared" si="0"/>
        <v>7.1594573451124674E-2</v>
      </c>
    </row>
    <row r="62" spans="1:5" x14ac:dyDescent="0.3">
      <c r="A62">
        <v>2022</v>
      </c>
      <c r="B62" s="10" t="s">
        <v>16</v>
      </c>
      <c r="C62" s="11">
        <v>44592</v>
      </c>
      <c r="D62">
        <v>282.54199999999997</v>
      </c>
      <c r="E62" s="12">
        <f t="shared" si="0"/>
        <v>7.5780824630005308E-2</v>
      </c>
    </row>
    <row r="63" spans="1:5" x14ac:dyDescent="0.3">
      <c r="A63">
        <v>2022</v>
      </c>
      <c r="B63" s="10" t="s">
        <v>17</v>
      </c>
      <c r="C63" s="11">
        <v>44620</v>
      </c>
      <c r="D63">
        <v>284.52499999999998</v>
      </c>
      <c r="E63" s="12">
        <f t="shared" si="0"/>
        <v>7.9492208989539903E-2</v>
      </c>
    </row>
    <row r="64" spans="1:5" x14ac:dyDescent="0.3">
      <c r="A64">
        <v>2022</v>
      </c>
      <c r="B64" s="10" t="s">
        <v>18</v>
      </c>
      <c r="C64" s="11">
        <v>44651</v>
      </c>
      <c r="D64">
        <v>287.46699999999998</v>
      </c>
      <c r="E64" s="12">
        <f t="shared" si="0"/>
        <v>8.5407801485385931E-2</v>
      </c>
    </row>
    <row r="65" spans="1:5" x14ac:dyDescent="0.3">
      <c r="A65">
        <v>2022</v>
      </c>
      <c r="B65" s="10" t="s">
        <v>19</v>
      </c>
      <c r="C65" s="11">
        <v>44681</v>
      </c>
      <c r="D65">
        <v>288.58199999999999</v>
      </c>
      <c r="E65" s="12">
        <f t="shared" si="0"/>
        <v>8.2351617440225011E-2</v>
      </c>
    </row>
    <row r="66" spans="1:5" x14ac:dyDescent="0.3">
      <c r="A66">
        <v>2022</v>
      </c>
      <c r="B66" s="10" t="s">
        <v>20</v>
      </c>
      <c r="C66" s="11">
        <v>44712</v>
      </c>
      <c r="D66">
        <v>291.29899999999998</v>
      </c>
      <c r="E66" s="12">
        <f t="shared" si="0"/>
        <v>8.5300517130892164E-2</v>
      </c>
    </row>
    <row r="67" spans="1:5" x14ac:dyDescent="0.3">
      <c r="A67">
        <v>2022</v>
      </c>
      <c r="B67" s="10" t="s">
        <v>21</v>
      </c>
      <c r="C67" s="11">
        <v>44742</v>
      </c>
      <c r="D67">
        <v>295.072</v>
      </c>
      <c r="E67" s="12">
        <f t="shared" si="0"/>
        <v>8.9992981419231011E-2</v>
      </c>
    </row>
    <row r="68" spans="1:5" x14ac:dyDescent="0.3">
      <c r="A68">
        <v>2022</v>
      </c>
      <c r="B68" s="10" t="s">
        <v>22</v>
      </c>
      <c r="C68" s="11">
        <v>44773</v>
      </c>
      <c r="D68">
        <v>294.94</v>
      </c>
      <c r="E68" s="12">
        <f t="shared" si="0"/>
        <v>8.4477782067545554E-2</v>
      </c>
    </row>
    <row r="69" spans="1:5" x14ac:dyDescent="0.3">
      <c r="A69">
        <v>2022</v>
      </c>
      <c r="B69" s="10" t="s">
        <v>23</v>
      </c>
      <c r="C69" s="11">
        <v>44804</v>
      </c>
      <c r="D69">
        <v>295.16199999999998</v>
      </c>
      <c r="E69" s="12">
        <f t="shared" si="0"/>
        <v>8.2162550595412567E-2</v>
      </c>
    </row>
    <row r="70" spans="1:5" x14ac:dyDescent="0.3">
      <c r="A70">
        <v>2022</v>
      </c>
      <c r="B70" s="10" t="s">
        <v>24</v>
      </c>
      <c r="C70" s="11">
        <v>44834</v>
      </c>
      <c r="D70">
        <v>296.42099999999999</v>
      </c>
      <c r="E70" s="12">
        <f t="shared" si="0"/>
        <v>8.2057515824517535E-2</v>
      </c>
    </row>
    <row r="71" spans="1:5" x14ac:dyDescent="0.3">
      <c r="A71">
        <v>2022</v>
      </c>
      <c r="B71" s="10" t="s">
        <v>25</v>
      </c>
      <c r="C71" s="11">
        <v>44865</v>
      </c>
      <c r="D71">
        <v>297.97899999999998</v>
      </c>
      <c r="E71" s="12">
        <f t="shared" si="0"/>
        <v>7.7572614708094526E-2</v>
      </c>
    </row>
    <row r="72" spans="1:5" x14ac:dyDescent="0.3">
      <c r="A72">
        <v>2022</v>
      </c>
      <c r="B72" s="10" t="s">
        <v>26</v>
      </c>
      <c r="C72" s="11">
        <v>44895</v>
      </c>
      <c r="D72">
        <v>298.70800000000003</v>
      </c>
      <c r="E72" s="12">
        <f t="shared" si="0"/>
        <v>7.1313803689782851E-2</v>
      </c>
    </row>
    <row r="73" spans="1:5" x14ac:dyDescent="0.3">
      <c r="A73">
        <v>2022</v>
      </c>
      <c r="B73" s="10" t="s">
        <v>27</v>
      </c>
      <c r="C73" s="11">
        <v>44926</v>
      </c>
      <c r="D73">
        <v>298.80799999999999</v>
      </c>
      <c r="E73" s="12">
        <f t="shared" si="0"/>
        <v>6.4108316773858143E-2</v>
      </c>
    </row>
    <row r="74" spans="1:5" x14ac:dyDescent="0.3">
      <c r="A74">
        <v>2023</v>
      </c>
      <c r="B74" s="10" t="s">
        <v>16</v>
      </c>
      <c r="C74" s="11">
        <v>44957</v>
      </c>
      <c r="D74">
        <v>300.45600000000002</v>
      </c>
      <c r="E74" s="12">
        <f t="shared" si="0"/>
        <v>6.3402963099291595E-2</v>
      </c>
    </row>
    <row r="75" spans="1:5" x14ac:dyDescent="0.3">
      <c r="A75">
        <v>2023</v>
      </c>
      <c r="B75" s="10" t="s">
        <v>17</v>
      </c>
      <c r="C75" s="11">
        <v>44985</v>
      </c>
      <c r="D75">
        <v>301.476</v>
      </c>
      <c r="E75" s="12">
        <f t="shared" si="0"/>
        <v>5.9576487127669005E-2</v>
      </c>
    </row>
    <row r="76" spans="1:5" x14ac:dyDescent="0.3">
      <c r="A76">
        <v>2023</v>
      </c>
      <c r="B76" s="10" t="s">
        <v>18</v>
      </c>
      <c r="C76" s="11">
        <v>45016</v>
      </c>
      <c r="D76">
        <v>301.64299999999997</v>
      </c>
      <c r="E76" s="12">
        <f t="shared" si="0"/>
        <v>4.931348641757137E-2</v>
      </c>
    </row>
    <row r="77" spans="1:5" x14ac:dyDescent="0.3">
      <c r="A77">
        <v>2023</v>
      </c>
      <c r="B77" s="10" t="s">
        <v>19</v>
      </c>
      <c r="C77" s="11">
        <v>45046</v>
      </c>
      <c r="D77">
        <v>302.858</v>
      </c>
      <c r="E77" s="12">
        <f t="shared" si="0"/>
        <v>4.946947488062322E-2</v>
      </c>
    </row>
    <row r="78" spans="1:5" x14ac:dyDescent="0.3">
      <c r="A78">
        <v>2023</v>
      </c>
      <c r="B78" s="10" t="s">
        <v>20</v>
      </c>
      <c r="C78" s="11">
        <v>45077</v>
      </c>
      <c r="D78">
        <v>303.31599999999997</v>
      </c>
      <c r="E78" s="12">
        <f t="shared" si="0"/>
        <v>4.1253145393564679E-2</v>
      </c>
    </row>
    <row r="79" spans="1:5" x14ac:dyDescent="0.3">
      <c r="A79">
        <v>2023</v>
      </c>
      <c r="B79" s="10" t="s">
        <v>21</v>
      </c>
      <c r="C79" s="11">
        <v>45107</v>
      </c>
      <c r="D79">
        <v>304.09899999999999</v>
      </c>
      <c r="E79" s="12">
        <f t="shared" ref="E79:E108" si="1">(D79-D67)/D67</f>
        <v>3.0592533347793036E-2</v>
      </c>
    </row>
    <row r="80" spans="1:5" x14ac:dyDescent="0.3">
      <c r="A80">
        <v>2023</v>
      </c>
      <c r="B80" s="10" t="s">
        <v>22</v>
      </c>
      <c r="C80" s="11">
        <v>45138</v>
      </c>
      <c r="D80">
        <v>304.61500000000001</v>
      </c>
      <c r="E80" s="12">
        <f t="shared" si="1"/>
        <v>3.2803282023462436E-2</v>
      </c>
    </row>
    <row r="81" spans="1:5" x14ac:dyDescent="0.3">
      <c r="A81">
        <v>2023</v>
      </c>
      <c r="B81" s="10" t="s">
        <v>23</v>
      </c>
      <c r="C81" s="11">
        <v>45169</v>
      </c>
      <c r="D81">
        <v>306.13799999999998</v>
      </c>
      <c r="E81" s="12">
        <f t="shared" si="1"/>
        <v>3.7186358677607549E-2</v>
      </c>
    </row>
    <row r="82" spans="1:5" x14ac:dyDescent="0.3">
      <c r="A82">
        <v>2023</v>
      </c>
      <c r="B82" s="10" t="s">
        <v>24</v>
      </c>
      <c r="C82" s="11">
        <v>45199</v>
      </c>
      <c r="D82">
        <v>307.37400000000002</v>
      </c>
      <c r="E82" s="12">
        <f t="shared" si="1"/>
        <v>3.6950823322234365E-2</v>
      </c>
    </row>
    <row r="83" spans="1:5" x14ac:dyDescent="0.3">
      <c r="A83">
        <v>2023</v>
      </c>
      <c r="B83" s="10" t="s">
        <v>25</v>
      </c>
      <c r="C83" s="11">
        <v>45230</v>
      </c>
      <c r="D83">
        <v>307.65300000000002</v>
      </c>
      <c r="E83" s="12">
        <f t="shared" si="1"/>
        <v>3.2465375076767271E-2</v>
      </c>
    </row>
    <row r="84" spans="1:5" x14ac:dyDescent="0.3">
      <c r="A84">
        <v>2023</v>
      </c>
      <c r="B84" s="10" t="s">
        <v>26</v>
      </c>
      <c r="C84" s="11">
        <v>45260</v>
      </c>
      <c r="D84">
        <v>308.08699999999999</v>
      </c>
      <c r="E84" s="12">
        <f t="shared" si="1"/>
        <v>3.1398556449776911E-2</v>
      </c>
    </row>
    <row r="85" spans="1:5" x14ac:dyDescent="0.3">
      <c r="A85">
        <v>2023</v>
      </c>
      <c r="B85" s="10" t="s">
        <v>27</v>
      </c>
      <c r="C85" s="11">
        <v>45291</v>
      </c>
      <c r="D85">
        <v>308.73500000000001</v>
      </c>
      <c r="E85" s="12">
        <f t="shared" si="1"/>
        <v>3.3222002088297571E-2</v>
      </c>
    </row>
    <row r="86" spans="1:5" x14ac:dyDescent="0.3">
      <c r="A86">
        <v>2024</v>
      </c>
      <c r="B86" s="10" t="s">
        <v>16</v>
      </c>
      <c r="C86" s="11">
        <v>45322</v>
      </c>
      <c r="D86">
        <v>309.79399999999998</v>
      </c>
      <c r="E86" s="12">
        <f t="shared" si="1"/>
        <v>3.1079425939238906E-2</v>
      </c>
    </row>
    <row r="87" spans="1:5" x14ac:dyDescent="0.3">
      <c r="A87">
        <v>2024</v>
      </c>
      <c r="B87" s="10" t="s">
        <v>17</v>
      </c>
      <c r="C87" s="11">
        <v>45351</v>
      </c>
      <c r="D87">
        <v>311.02199999999999</v>
      </c>
      <c r="E87" s="12">
        <f t="shared" si="1"/>
        <v>3.1664212076583188E-2</v>
      </c>
    </row>
    <row r="88" spans="1:5" x14ac:dyDescent="0.3">
      <c r="A88">
        <v>2024</v>
      </c>
      <c r="B88" s="10" t="s">
        <v>18</v>
      </c>
      <c r="C88" s="11">
        <v>45382</v>
      </c>
      <c r="D88">
        <v>312.10700000000003</v>
      </c>
      <c r="E88" s="12">
        <f t="shared" si="1"/>
        <v>3.4690014354717517E-2</v>
      </c>
    </row>
    <row r="89" spans="1:5" x14ac:dyDescent="0.3">
      <c r="A89">
        <v>2024</v>
      </c>
      <c r="B89" s="10" t="s">
        <v>19</v>
      </c>
      <c r="C89" s="11">
        <v>45412</v>
      </c>
      <c r="D89">
        <v>313.01600000000002</v>
      </c>
      <c r="E89" s="12">
        <f t="shared" si="1"/>
        <v>3.3540471111874262E-2</v>
      </c>
    </row>
    <row r="90" spans="1:5" x14ac:dyDescent="0.3">
      <c r="A90">
        <v>2024</v>
      </c>
      <c r="B90" s="10" t="s">
        <v>20</v>
      </c>
      <c r="C90" s="11">
        <v>45443</v>
      </c>
      <c r="D90">
        <v>313.14</v>
      </c>
      <c r="E90" s="12">
        <f t="shared" si="1"/>
        <v>3.2388663967611378E-2</v>
      </c>
    </row>
    <row r="91" spans="1:5" x14ac:dyDescent="0.3">
      <c r="A91">
        <v>2024</v>
      </c>
      <c r="B91" s="10" t="s">
        <v>21</v>
      </c>
      <c r="C91" s="11">
        <v>45473</v>
      </c>
      <c r="D91">
        <v>313.13099999999997</v>
      </c>
      <c r="E91" s="12">
        <f t="shared" si="1"/>
        <v>2.9700853998204473E-2</v>
      </c>
    </row>
    <row r="92" spans="1:5" x14ac:dyDescent="0.3">
      <c r="A92">
        <v>2024</v>
      </c>
      <c r="B92" s="10" t="s">
        <v>22</v>
      </c>
      <c r="C92" s="11">
        <v>45504</v>
      </c>
      <c r="D92">
        <v>313.56599999999997</v>
      </c>
      <c r="E92" s="12">
        <f t="shared" si="1"/>
        <v>2.9384633061405263E-2</v>
      </c>
    </row>
    <row r="93" spans="1:5" x14ac:dyDescent="0.3">
      <c r="A93">
        <v>2024</v>
      </c>
      <c r="B93" s="10" t="s">
        <v>23</v>
      </c>
      <c r="C93" s="11">
        <v>45535</v>
      </c>
      <c r="D93">
        <v>314.13099999999997</v>
      </c>
      <c r="E93" s="12">
        <f t="shared" si="1"/>
        <v>2.6109140322338277E-2</v>
      </c>
    </row>
    <row r="94" spans="1:5" x14ac:dyDescent="0.3">
      <c r="A94">
        <v>2024</v>
      </c>
      <c r="B94" s="10" t="s">
        <v>24</v>
      </c>
      <c r="C94" s="11">
        <v>45565</v>
      </c>
      <c r="D94">
        <v>314.851</v>
      </c>
      <c r="E94" s="12">
        <f t="shared" si="1"/>
        <v>2.4325414641446493E-2</v>
      </c>
    </row>
    <row r="95" spans="1:5" x14ac:dyDescent="0.3">
      <c r="A95">
        <v>2024</v>
      </c>
      <c r="B95" s="10" t="s">
        <v>25</v>
      </c>
      <c r="C95" s="11">
        <v>45596</v>
      </c>
      <c r="D95">
        <v>315.56400000000002</v>
      </c>
      <c r="E95" s="12">
        <f t="shared" si="1"/>
        <v>2.5714034967967161E-2</v>
      </c>
    </row>
    <row r="96" spans="1:5" x14ac:dyDescent="0.3">
      <c r="A96">
        <v>2024</v>
      </c>
      <c r="B96" s="10" t="s">
        <v>26</v>
      </c>
      <c r="C96" s="11">
        <v>45626</v>
      </c>
      <c r="D96">
        <v>316.44900000000001</v>
      </c>
      <c r="E96" s="12">
        <f t="shared" si="1"/>
        <v>2.7141684004842865E-2</v>
      </c>
    </row>
    <row r="97" spans="1:5" x14ac:dyDescent="0.3">
      <c r="A97">
        <v>2024</v>
      </c>
      <c r="B97" s="10" t="s">
        <v>27</v>
      </c>
      <c r="C97" s="11">
        <v>45657</v>
      </c>
      <c r="D97">
        <v>317.60300000000001</v>
      </c>
      <c r="E97" s="12">
        <f t="shared" si="1"/>
        <v>2.8723662688065799E-2</v>
      </c>
    </row>
    <row r="98" spans="1:5" x14ac:dyDescent="0.3">
      <c r="A98">
        <v>2025</v>
      </c>
      <c r="B98" s="10" t="s">
        <v>16</v>
      </c>
      <c r="C98" s="11">
        <v>45688</v>
      </c>
      <c r="D98">
        <v>319.08600000000001</v>
      </c>
      <c r="E98" s="12">
        <f t="shared" si="1"/>
        <v>2.9994125128311171E-2</v>
      </c>
    </row>
    <row r="99" spans="1:5" x14ac:dyDescent="0.3">
      <c r="A99">
        <v>2025</v>
      </c>
      <c r="B99" s="10" t="s">
        <v>17</v>
      </c>
      <c r="C99" s="11">
        <v>45716</v>
      </c>
      <c r="D99">
        <v>319.77499999999998</v>
      </c>
      <c r="E99" s="12">
        <f t="shared" si="1"/>
        <v>2.8142703731568783E-2</v>
      </c>
    </row>
    <row r="100" spans="1:5" x14ac:dyDescent="0.3">
      <c r="A100">
        <v>2025</v>
      </c>
      <c r="B100" s="10" t="s">
        <v>18</v>
      </c>
      <c r="C100" s="11">
        <v>45747</v>
      </c>
      <c r="D100">
        <v>319.61500000000001</v>
      </c>
      <c r="E100" s="12">
        <f t="shared" si="1"/>
        <v>2.4055852640280356E-2</v>
      </c>
    </row>
    <row r="101" spans="1:5" x14ac:dyDescent="0.3">
      <c r="A101">
        <v>2025</v>
      </c>
      <c r="B101" s="10" t="s">
        <v>19</v>
      </c>
      <c r="C101" s="11">
        <v>45777</v>
      </c>
      <c r="D101">
        <v>320.32100000000003</v>
      </c>
      <c r="E101" s="12">
        <f t="shared" si="1"/>
        <v>2.3337465177498934E-2</v>
      </c>
    </row>
    <row r="102" spans="1:5" x14ac:dyDescent="0.3">
      <c r="A102">
        <v>2025</v>
      </c>
      <c r="B102" s="10" t="s">
        <v>20</v>
      </c>
      <c r="C102" s="11">
        <v>45808</v>
      </c>
      <c r="D102">
        <v>320.58</v>
      </c>
      <c r="E102" s="12">
        <f t="shared" si="1"/>
        <v>2.3759340869898442E-2</v>
      </c>
    </row>
    <row r="103" spans="1:5" x14ac:dyDescent="0.3">
      <c r="A103">
        <v>2025</v>
      </c>
      <c r="B103" s="10" t="s">
        <v>21</v>
      </c>
      <c r="C103" s="11">
        <v>45838</v>
      </c>
      <c r="D103">
        <v>321.5</v>
      </c>
      <c r="E103" s="12">
        <f t="shared" si="1"/>
        <v>2.6726833178446173E-2</v>
      </c>
    </row>
    <row r="104" spans="1:5" x14ac:dyDescent="0.3">
      <c r="A104">
        <v>2025</v>
      </c>
      <c r="B104" s="10" t="s">
        <v>22</v>
      </c>
      <c r="C104" s="11">
        <v>45869</v>
      </c>
      <c r="D104">
        <v>322.13200000000001</v>
      </c>
      <c r="E104" s="12">
        <f t="shared" si="1"/>
        <v>2.7318012794754633E-2</v>
      </c>
    </row>
    <row r="105" spans="1:5" x14ac:dyDescent="0.3">
      <c r="A105">
        <v>2025</v>
      </c>
      <c r="B105" s="10" t="s">
        <v>23</v>
      </c>
      <c r="C105" s="11">
        <v>45900</v>
      </c>
      <c r="D105">
        <v>323.36399999999998</v>
      </c>
      <c r="E105" s="12">
        <f t="shared" si="1"/>
        <v>2.9392196249335485E-2</v>
      </c>
    </row>
    <row r="106" spans="1:5" x14ac:dyDescent="0.3">
      <c r="A106">
        <v>2025</v>
      </c>
      <c r="B106" s="10" t="s">
        <v>24</v>
      </c>
      <c r="C106" s="11">
        <v>45930</v>
      </c>
      <c r="D106">
        <v>324.36799999999999</v>
      </c>
      <c r="E106" s="12">
        <f t="shared" si="1"/>
        <v>3.0226996261723788E-2</v>
      </c>
    </row>
    <row r="107" spans="1:5" x14ac:dyDescent="0.3">
      <c r="A107">
        <v>2025</v>
      </c>
      <c r="B107" s="10" t="s">
        <v>26</v>
      </c>
      <c r="C107" s="11">
        <v>45991</v>
      </c>
      <c r="D107">
        <v>325.03100000000001</v>
      </c>
      <c r="E107" s="12">
        <f t="shared" si="1"/>
        <v>3.0000253514342524E-2</v>
      </c>
    </row>
    <row r="108" spans="1:5" x14ac:dyDescent="0.3">
      <c r="A108">
        <v>2025</v>
      </c>
      <c r="B108" s="10" t="s">
        <v>27</v>
      </c>
      <c r="C108" s="11">
        <v>46022</v>
      </c>
      <c r="D108">
        <v>326.02999999999997</v>
      </c>
      <c r="E108" s="12">
        <f t="shared" si="1"/>
        <v>3.027660065286969E-2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workbookViewId="0">
      <pane ySplit="12" topLeftCell="A13" activePane="bottomLeft" state="frozen"/>
      <selection pane="bottomLeft" activeCell="C13" sqref="C13"/>
    </sheetView>
  </sheetViews>
  <sheetFormatPr defaultRowHeight="14.4" x14ac:dyDescent="0.3"/>
  <cols>
    <col min="1" max="1" width="20" customWidth="1"/>
    <col min="2" max="2" width="8" customWidth="1"/>
  </cols>
  <sheetData>
    <row r="1" spans="1:15" ht="15.6" x14ac:dyDescent="0.3">
      <c r="A1" s="7" t="s">
        <v>0</v>
      </c>
      <c r="B1" s="5"/>
      <c r="C1" s="5"/>
      <c r="D1" s="5"/>
      <c r="E1" s="5"/>
      <c r="F1" s="5"/>
    </row>
    <row r="2" spans="1:15" ht="15.6" x14ac:dyDescent="0.3">
      <c r="A2" s="7" t="s">
        <v>1</v>
      </c>
      <c r="B2" s="5"/>
      <c r="C2" s="5"/>
      <c r="D2" s="5"/>
      <c r="E2" s="5"/>
      <c r="F2" s="5"/>
    </row>
    <row r="3" spans="1:15" x14ac:dyDescent="0.3">
      <c r="A3" s="5"/>
      <c r="B3" s="5"/>
      <c r="C3" s="5"/>
      <c r="D3" s="5"/>
      <c r="E3" s="5"/>
      <c r="F3" s="5"/>
    </row>
    <row r="4" spans="1:15" x14ac:dyDescent="0.3">
      <c r="A4" s="3" t="s">
        <v>2</v>
      </c>
      <c r="B4" s="4" t="s">
        <v>3</v>
      </c>
      <c r="C4" s="5"/>
      <c r="D4" s="5"/>
      <c r="E4" s="5"/>
      <c r="F4" s="5"/>
    </row>
    <row r="5" spans="1:15" x14ac:dyDescent="0.3">
      <c r="A5" s="8" t="s">
        <v>4</v>
      </c>
      <c r="B5" s="5"/>
      <c r="C5" s="5"/>
      <c r="D5" s="5"/>
      <c r="E5" s="5"/>
      <c r="F5" s="5"/>
    </row>
    <row r="6" spans="1:15" x14ac:dyDescent="0.3">
      <c r="A6" s="3" t="s">
        <v>5</v>
      </c>
      <c r="B6" s="4" t="s">
        <v>6</v>
      </c>
      <c r="C6" s="5"/>
      <c r="D6" s="5"/>
      <c r="E6" s="5"/>
      <c r="F6" s="5"/>
    </row>
    <row r="7" spans="1:15" x14ac:dyDescent="0.3">
      <c r="A7" s="3" t="s">
        <v>7</v>
      </c>
      <c r="B7" s="4" t="s">
        <v>8</v>
      </c>
      <c r="C7" s="5"/>
      <c r="D7" s="5"/>
      <c r="E7" s="5"/>
      <c r="F7" s="5"/>
    </row>
    <row r="8" spans="1:15" x14ac:dyDescent="0.3">
      <c r="A8" s="3" t="s">
        <v>9</v>
      </c>
      <c r="B8" s="4" t="s">
        <v>10</v>
      </c>
      <c r="C8" s="5"/>
      <c r="D8" s="5"/>
      <c r="E8" s="5"/>
      <c r="F8" s="5"/>
    </row>
    <row r="9" spans="1:15" x14ac:dyDescent="0.3">
      <c r="A9" s="3" t="s">
        <v>11</v>
      </c>
      <c r="B9" s="4" t="s">
        <v>12</v>
      </c>
      <c r="C9" s="5"/>
      <c r="D9" s="5"/>
      <c r="E9" s="5"/>
      <c r="F9" s="5"/>
    </row>
    <row r="10" spans="1:15" x14ac:dyDescent="0.3">
      <c r="A10" s="3" t="s">
        <v>13</v>
      </c>
      <c r="B10" s="6" t="s">
        <v>14</v>
      </c>
      <c r="C10" s="5"/>
      <c r="D10" s="5"/>
      <c r="E10" s="5"/>
      <c r="F10" s="5"/>
    </row>
    <row r="12" spans="1:15" x14ac:dyDescent="0.3">
      <c r="A12" s="9" t="s">
        <v>15</v>
      </c>
      <c r="B12" s="9" t="s">
        <v>16</v>
      </c>
      <c r="C12" s="9" t="s">
        <v>17</v>
      </c>
      <c r="D12" s="9" t="s">
        <v>18</v>
      </c>
      <c r="E12" s="9" t="s">
        <v>19</v>
      </c>
      <c r="F12" s="9" t="s">
        <v>20</v>
      </c>
      <c r="G12" s="9" t="s">
        <v>21</v>
      </c>
      <c r="H12" s="9" t="s">
        <v>22</v>
      </c>
      <c r="I12" s="9" t="s">
        <v>23</v>
      </c>
      <c r="J12" s="9" t="s">
        <v>24</v>
      </c>
      <c r="K12" s="9" t="s">
        <v>25</v>
      </c>
      <c r="L12" s="9" t="s">
        <v>26</v>
      </c>
      <c r="M12" s="9" t="s">
        <v>27</v>
      </c>
      <c r="N12" s="9" t="s">
        <v>28</v>
      </c>
      <c r="O12" s="9" t="s">
        <v>29</v>
      </c>
    </row>
    <row r="13" spans="1:15" x14ac:dyDescent="0.3">
      <c r="A13" s="1">
        <v>2017</v>
      </c>
      <c r="B13" s="2">
        <v>243.61799999999999</v>
      </c>
      <c r="C13" s="2">
        <v>244.006</v>
      </c>
      <c r="D13" s="2">
        <v>243.892</v>
      </c>
      <c r="E13" s="2">
        <v>244.19300000000001</v>
      </c>
      <c r="F13" s="2">
        <v>244.00399999999999</v>
      </c>
      <c r="G13" s="2">
        <v>244.16300000000001</v>
      </c>
      <c r="H13" s="2">
        <v>244.24299999999999</v>
      </c>
      <c r="I13" s="2">
        <v>245.18299999999999</v>
      </c>
      <c r="J13" s="2">
        <v>246.435</v>
      </c>
      <c r="K13" s="2">
        <v>246.626</v>
      </c>
      <c r="L13" s="2">
        <v>247.28399999999999</v>
      </c>
      <c r="M13" s="2">
        <v>247.80500000000001</v>
      </c>
    </row>
    <row r="14" spans="1:15" x14ac:dyDescent="0.3">
      <c r="A14" s="1">
        <v>2018</v>
      </c>
      <c r="B14" s="2">
        <v>248.85900000000001</v>
      </c>
      <c r="C14" s="2">
        <v>249.529</v>
      </c>
      <c r="D14" s="2">
        <v>249.577</v>
      </c>
      <c r="E14" s="2">
        <v>250.227</v>
      </c>
      <c r="F14" s="2">
        <v>250.792</v>
      </c>
      <c r="G14" s="2">
        <v>251.018</v>
      </c>
      <c r="H14" s="2">
        <v>251.214</v>
      </c>
      <c r="I14" s="2">
        <v>251.66300000000001</v>
      </c>
      <c r="J14" s="2">
        <v>252.18199999999999</v>
      </c>
      <c r="K14" s="2">
        <v>252.77199999999999</v>
      </c>
      <c r="L14" s="2">
        <v>252.59399999999999</v>
      </c>
      <c r="M14" s="2">
        <v>252.767</v>
      </c>
    </row>
    <row r="15" spans="1:15" x14ac:dyDescent="0.3">
      <c r="A15" s="1">
        <v>2019</v>
      </c>
      <c r="B15" s="2">
        <v>252.56100000000001</v>
      </c>
      <c r="C15" s="2">
        <v>253.31899999999999</v>
      </c>
      <c r="D15" s="2">
        <v>254.27699999999999</v>
      </c>
      <c r="E15" s="2">
        <v>255.233</v>
      </c>
      <c r="F15" s="2">
        <v>255.29599999999999</v>
      </c>
      <c r="G15" s="2">
        <v>255.21299999999999</v>
      </c>
      <c r="H15" s="2">
        <v>255.80199999999999</v>
      </c>
      <c r="I15" s="2">
        <v>256.036</v>
      </c>
      <c r="J15" s="2">
        <v>256.43</v>
      </c>
      <c r="K15" s="2">
        <v>257.15499999999997</v>
      </c>
      <c r="L15" s="2">
        <v>257.87900000000002</v>
      </c>
      <c r="M15" s="2">
        <v>258.63</v>
      </c>
    </row>
    <row r="16" spans="1:15" x14ac:dyDescent="0.3">
      <c r="A16" s="1">
        <v>2020</v>
      </c>
      <c r="B16" s="2">
        <v>259.12700000000001</v>
      </c>
      <c r="C16" s="2">
        <v>259.25</v>
      </c>
      <c r="D16" s="2">
        <v>258.07600000000002</v>
      </c>
      <c r="E16" s="2">
        <v>256.03199999999998</v>
      </c>
      <c r="F16" s="2">
        <v>255.80199999999999</v>
      </c>
      <c r="G16" s="2">
        <v>257.04199999999997</v>
      </c>
      <c r="H16" s="2">
        <v>258.35199999999998</v>
      </c>
      <c r="I16" s="2">
        <v>259.31599999999997</v>
      </c>
      <c r="J16" s="2">
        <v>259.99700000000001</v>
      </c>
      <c r="K16" s="2">
        <v>260.31900000000002</v>
      </c>
      <c r="L16" s="2">
        <v>260.911</v>
      </c>
      <c r="M16" s="2">
        <v>262.04500000000002</v>
      </c>
    </row>
    <row r="17" spans="1:13" x14ac:dyDescent="0.3">
      <c r="A17" s="1">
        <v>2021</v>
      </c>
      <c r="B17" s="2">
        <v>262.63900000000001</v>
      </c>
      <c r="C17" s="2">
        <v>263.57299999999998</v>
      </c>
      <c r="D17" s="2">
        <v>264.84699999999998</v>
      </c>
      <c r="E17" s="2">
        <v>266.625</v>
      </c>
      <c r="F17" s="2">
        <v>268.404</v>
      </c>
      <c r="G17" s="2">
        <v>270.70999999999998</v>
      </c>
      <c r="H17" s="2">
        <v>271.96499999999997</v>
      </c>
      <c r="I17" s="2">
        <v>272.75200000000001</v>
      </c>
      <c r="J17" s="2">
        <v>273.94200000000001</v>
      </c>
      <c r="K17" s="2">
        <v>276.52800000000002</v>
      </c>
      <c r="L17" s="2">
        <v>278.82400000000001</v>
      </c>
      <c r="M17" s="2">
        <v>280.80599999999998</v>
      </c>
    </row>
    <row r="18" spans="1:13" x14ac:dyDescent="0.3">
      <c r="A18" s="1">
        <v>2022</v>
      </c>
      <c r="B18" s="2">
        <v>282.54199999999997</v>
      </c>
      <c r="C18" s="2">
        <v>284.52499999999998</v>
      </c>
      <c r="D18" s="2">
        <v>287.46699999999998</v>
      </c>
      <c r="E18" s="2">
        <v>288.58199999999999</v>
      </c>
      <c r="F18" s="2">
        <v>291.29899999999998</v>
      </c>
      <c r="G18" s="2">
        <v>295.072</v>
      </c>
      <c r="H18" s="2">
        <v>294.94</v>
      </c>
      <c r="I18" s="2">
        <v>295.16199999999998</v>
      </c>
      <c r="J18" s="2">
        <v>296.42099999999999</v>
      </c>
      <c r="K18" s="2">
        <v>297.97899999999998</v>
      </c>
      <c r="L18" s="2">
        <v>298.70800000000003</v>
      </c>
      <c r="M18" s="2">
        <v>298.80799999999999</v>
      </c>
    </row>
    <row r="19" spans="1:13" x14ac:dyDescent="0.3">
      <c r="A19" s="1">
        <v>2023</v>
      </c>
      <c r="B19" s="2">
        <v>300.45600000000002</v>
      </c>
      <c r="C19" s="2">
        <v>301.476</v>
      </c>
      <c r="D19" s="2">
        <v>301.64299999999997</v>
      </c>
      <c r="E19" s="2">
        <v>302.858</v>
      </c>
      <c r="F19" s="2">
        <v>303.31599999999997</v>
      </c>
      <c r="G19" s="2">
        <v>304.09899999999999</v>
      </c>
      <c r="H19" s="2">
        <v>304.61500000000001</v>
      </c>
      <c r="I19" s="2">
        <v>306.13799999999998</v>
      </c>
      <c r="J19" s="2">
        <v>307.37400000000002</v>
      </c>
      <c r="K19" s="2">
        <v>307.65300000000002</v>
      </c>
      <c r="L19" s="2">
        <v>308.08699999999999</v>
      </c>
      <c r="M19" s="2">
        <v>308.73500000000001</v>
      </c>
    </row>
    <row r="20" spans="1:13" x14ac:dyDescent="0.3">
      <c r="A20" s="1">
        <v>2024</v>
      </c>
      <c r="B20" s="2">
        <v>309.79399999999998</v>
      </c>
      <c r="C20" s="2">
        <v>311.02199999999999</v>
      </c>
      <c r="D20" s="2">
        <v>312.10700000000003</v>
      </c>
      <c r="E20" s="2">
        <v>313.01600000000002</v>
      </c>
      <c r="F20" s="2">
        <v>313.14</v>
      </c>
      <c r="G20" s="2">
        <v>313.13099999999997</v>
      </c>
      <c r="H20" s="2">
        <v>313.56599999999997</v>
      </c>
      <c r="I20" s="2">
        <v>314.13099999999997</v>
      </c>
      <c r="J20" s="2">
        <v>314.851</v>
      </c>
      <c r="K20" s="2">
        <v>315.56400000000002</v>
      </c>
      <c r="L20" s="2">
        <v>316.44900000000001</v>
      </c>
      <c r="M20" s="2">
        <v>317.60300000000001</v>
      </c>
    </row>
    <row r="21" spans="1:13" x14ac:dyDescent="0.3">
      <c r="A21" s="1">
        <v>2025</v>
      </c>
      <c r="B21" s="2">
        <v>319.08600000000001</v>
      </c>
      <c r="C21" s="2">
        <v>319.77499999999998</v>
      </c>
      <c r="D21" s="2">
        <v>319.61500000000001</v>
      </c>
      <c r="E21" s="2">
        <v>320.32100000000003</v>
      </c>
      <c r="F21" s="2">
        <v>320.58</v>
      </c>
      <c r="G21" s="2">
        <v>321.5</v>
      </c>
      <c r="H21" s="2">
        <v>322.13200000000001</v>
      </c>
      <c r="I21" s="2">
        <v>323.36399999999998</v>
      </c>
      <c r="J21" s="2">
        <v>324.36799999999999</v>
      </c>
      <c r="K21" t="s">
        <v>30</v>
      </c>
      <c r="L21" s="2">
        <v>325.03100000000001</v>
      </c>
      <c r="M21" s="2">
        <v>326.02999999999997</v>
      </c>
    </row>
  </sheetData>
  <mergeCells count="10"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January 29, 2026 (06:12:52 PM)</oddFooter>
  </headerFooter>
  <drawing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CC1407B6-E626-48E6-A230-FCF836FB3B4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0DBBB0C-A79F-45DD-AACD-81E41D5E6F0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CPI_Original</vt:lpstr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Umaben Patel</cp:lastModifiedBy>
  <dcterms:created xsi:type="dcterms:W3CDTF">2026-01-29T23:12:52Z</dcterms:created>
  <dcterms:modified xsi:type="dcterms:W3CDTF">2026-02-19T05:28:22Z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{30DBBB0C-A79F-45DD-AACD-81E41D5E6F0C}</vt:lpwstr>
  </property>
</Properties>
</file>